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6de321fca546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opping List" sheetId="1" r:id="R089148ca4fd943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0.0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4546A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0563C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7FBFE"/>
      </x:patternFill>
    </x:fill>
    <x:fill>
      <x:patternFill patternType="solid">
        <x:fgColor rgb="FFF4F8FC"/>
      </x:patternFill>
    </x:fill>
  </x:fills>
  <x:borders count="1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22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7" xfId="0" applyNumberFormat="1" applyFont="1" applyFill="1" applyBorder="1"/>
    <x:xf numFmtId="0" fontId="0" fillId="3" borderId="2" xfId="0" applyNumberFormat="1" applyFont="1" applyFill="1" applyBorder="1"/>
    <x:xf numFmtId="0" fontId="0" fillId="3" borderId="5" xfId="0" applyNumberFormat="1" applyFont="1" applyFill="1" applyBorder="1"/>
    <x:xf numFmtId="0" fontId="0" fillId="3" borderId="7" xfId="0" applyNumberFormat="1" applyFont="1" applyFill="1" applyBorder="1"/>
    <x:xf numFmtId="0" fontId="4" fillId="3" borderId="2" xfId="0" applyNumberFormat="1" applyFont="1" applyFill="1" applyBorder="1"/>
    <x:xf numFmtId="0" fontId="4" fillId="3" borderId="5" xfId="0" applyNumberFormat="1" applyFont="1" applyFill="1" applyBorder="1"/>
    <x:xf numFmtId="0" fontId="4" fillId="3" borderId="7" xfId="0" applyNumberFormat="1" applyFont="1" applyFill="1" applyBorder="1"/>
    <x:xf numFmtId="0" fontId="0" fillId="3" borderId="10" xfId="0" applyNumberFormat="1" applyFont="1" applyFill="1" applyBorder="1"/>
    <x:xf numFmtId="0" fontId="0" fillId="3" borderId="13" xfId="0" applyNumberFormat="1" applyFont="1" applyFill="1" applyBorder="1"/>
    <x:xf numFmtId="0" fontId="0" fillId="3" borderId="15" xfId="0" applyNumberFormat="1" applyFont="1" applyFill="1" applyBorder="1"/>
    <x:xf numFmtId="0" fontId="4" fillId="3" borderId="10" xfId="0" applyNumberFormat="1" applyFont="1" applyFill="1" applyBorder="1"/>
    <x:xf numFmtId="0" fontId="4" fillId="3" borderId="13" xfId="0" applyNumberFormat="1" applyFont="1" applyFill="1" applyBorder="1"/>
    <x:xf numFmtId="0" fontId="4" fillId="3" borderId="15" xfId="0" applyNumberFormat="1" applyFont="1" applyFill="1" applyBorder="1"/>
    <x:xf numFmtId="0" fontId="0" fillId="5" borderId="4" xfId="0" applyNumberFormat="1" applyFont="1" applyFill="1" applyBorder="1"/>
    <x:xf numFmtId="0" fontId="0" fillId="5" borderId="6" xfId="0" applyNumberFormat="1" applyFont="1" applyFill="1" applyBorder="1"/>
    <x:xf numFmtId="0" fontId="0" fillId="5" borderId="9" xfId="0" applyNumberFormat="1" applyFont="1" applyFill="1" applyBorder="1"/>
    <x:xf numFmtId="0" fontId="4" fillId="5" borderId="4" xfId="0" applyNumberFormat="1" applyFont="1" applyFill="1" applyBorder="1"/>
    <x:xf numFmtId="0" fontId="4" fillId="5" borderId="6" xfId="0" applyNumberFormat="1" applyFont="1" applyFill="1" applyBorder="1"/>
    <x:xf numFmtId="0" fontId="4" fillId="5" borderId="9" xfId="0" applyNumberFormat="1" applyFont="1" applyFill="1" applyBorder="1"/>
    <x:xf numFmtId="0" fontId="4" fillId="5" borderId="4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4" fillId="5" borderId="9" xfId="0" applyNumberFormat="1" applyFont="1" applyFill="1" applyBorder="1" applyAlignment="1">
      <x:alignment horizontal="center"/>
    </x:xf>
    <x:xf numFmtId="0" fontId="0" fillId="5" borderId="12" xfId="0" applyNumberFormat="1" applyFont="1" applyFill="1" applyBorder="1"/>
    <x:xf numFmtId="0" fontId="0" fillId="5" borderId="14" xfId="0" applyNumberFormat="1" applyFont="1" applyFill="1" applyBorder="1"/>
    <x:xf numFmtId="0" fontId="0" fillId="5" borderId="17" xfId="0" applyNumberFormat="1" applyFont="1" applyFill="1" applyBorder="1"/>
    <x:xf numFmtId="0" fontId="4" fillId="5" borderId="12" xfId="0" applyNumberFormat="1" applyFont="1" applyFill="1" applyBorder="1"/>
    <x:xf numFmtId="0" fontId="4" fillId="5" borderId="14" xfId="0" applyNumberFormat="1" applyFont="1" applyFill="1" applyBorder="1"/>
    <x:xf numFmtId="0" fontId="4" fillId="5" borderId="17" xfId="0" applyNumberFormat="1" applyFont="1" applyFill="1" applyBorder="1"/>
    <x:xf numFmtId="0" fontId="4" fillId="5" borderId="12" xfId="0" applyNumberFormat="1" applyFont="1" applyFill="1" applyBorder="1" applyAlignment="1">
      <x:alignment horizontal="center"/>
    </x:xf>
    <x:xf numFmtId="0" fontId="4" fillId="5" borderId="14" xfId="0" applyNumberFormat="1" applyFont="1" applyFill="1" applyBorder="1" applyAlignment="1">
      <x:alignment horizontal="center"/>
    </x:xf>
    <x:xf numFmtId="0" fontId="4" fillId="5" borderId="17" xfId="0" applyNumberFormat="1" applyFont="1" applyFill="1" applyBorder="1" applyAlignment="1">
      <x:alignment horizontal="center"/>
    </x:xf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0" fillId="6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4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12" xfId="0" applyNumberFormat="1" applyFont="1" applyFill="1" applyBorder="1"/>
    <x:xf numFmtId="0" fontId="0" fillId="6" borderId="5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6" xfId="0" applyNumberFormat="1" applyFont="1" applyFill="1" applyBorder="1"/>
    <x:xf numFmtId="0" fontId="0" fillId="6" borderId="13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14" xfId="0" applyNumberFormat="1" applyFont="1" applyFill="1" applyBorder="1"/>
    <x:xf numFmtId="200" fontId="0" fillId="6" borderId="3" xfId="0" applyNumberFormat="1" applyFont="1" applyFill="1" applyBorder="1"/>
    <x:xf numFmtId="200" fontId="0" fillId="0" borderId="0" xfId="0" applyNumberFormat="1" applyFont="1" applyFill="1" applyBorder="1"/>
    <x:xf numFmtId="200" fontId="0" fillId="6" borderId="0" xfId="0" applyNumberFormat="1" applyFont="1" applyFill="1" applyBorder="1"/>
    <x:xf numFmtId="200" fontId="0" fillId="0" borderId="8" xfId="0" applyNumberFormat="1" applyFont="1" applyFill="1" applyBorder="1"/>
    <x:xf numFmtId="200" fontId="0" fillId="6" borderId="11" xfId="0" applyNumberFormat="1" applyFont="1" applyFill="1" applyBorder="1"/>
    <x:xf numFmtId="200" fontId="0" fillId="0" borderId="1" xfId="0" applyNumberFormat="1" applyFont="1" applyFill="1" applyBorder="1"/>
    <x:xf numFmtId="200" fontId="0" fillId="6" borderId="1" xfId="0" applyNumberFormat="1" applyFont="1" applyFill="1" applyBorder="1"/>
    <x:xf numFmtId="200" fontId="0" fillId="0" borderId="16" xfId="0" applyNumberFormat="1" applyFont="1" applyFill="1" applyBorder="1"/>
    <x:xf numFmtId="200" fontId="4" fillId="5" borderId="4" xfId="0" applyNumberFormat="1" applyFont="1" applyFill="1" applyBorder="1" applyAlignment="1">
      <x:alignment horizontal="center"/>
    </x:xf>
    <x:xf numFmtId="200" fontId="4" fillId="5" borderId="6" xfId="0" applyNumberFormat="1" applyFont="1" applyFill="1" applyBorder="1" applyAlignment="1">
      <x:alignment horizontal="center"/>
    </x:xf>
    <x:xf numFmtId="200" fontId="4" fillId="5" borderId="12" xfId="0" applyNumberFormat="1" applyFont="1" applyFill="1" applyBorder="1" applyAlignment="1">
      <x:alignment horizontal="center"/>
    </x:xf>
    <x:xf numFmtId="200" fontId="4" fillId="5" borderId="14" xfId="0" applyNumberFormat="1" applyFont="1" applyFill="1" applyBorder="1" applyAlignment="1">
      <x:alignment horizontal="center"/>
    </x:xf>
    <x:xf numFmtId="0" fontId="0" fillId="6" borderId="3" xfId="0" applyNumberFormat="1" applyFont="1" applyFill="1" applyBorder="1" applyAlignment="1">
      <x:alignment horizontal="center"/>
    </x:xf>
    <x:xf numFmtId="200" fontId="0" fillId="6" borderId="3" xfId="0" applyNumberFormat="1" applyFont="1" applyFill="1" applyBorder="1" applyAlignment="1">
      <x:alignment horizontal="center"/>
    </x:xf>
    <x:xf numFmtId="0" fontId="0" fillId="6" borderId="3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 applyAlignment="1">
      <x:alignment horizontal="center"/>
    </x:xf>
    <x:xf numFmtId="200" fontId="0" fillId="6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horizontal="center"/>
    </x:xf>
    <x:xf numFmtId="200" fontId="0" fillId="0" borderId="8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11" xfId="0" applyNumberFormat="1" applyFont="1" applyFill="1" applyBorder="1" applyAlignment="1">
      <x:alignment horizontal="center"/>
    </x:xf>
    <x:xf numFmtId="200" fontId="0" fillId="6" borderId="11" xfId="0" applyNumberFormat="1" applyFont="1" applyFill="1" applyBorder="1" applyAlignment="1">
      <x:alignment horizontal="center"/>
    </x:xf>
    <x:xf numFmtId="0" fontId="0" fillId="6" borderId="11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1" xfId="0" applyNumberFormat="1" applyFont="1" applyFill="1" applyBorder="1" applyAlignment="1">
      <x:alignment horizontal="center"/>
    </x:xf>
    <x:xf numFmtId="200" fontId="0" fillId="6" borderId="1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6" xfId="0" applyNumberFormat="1" applyFont="1" applyFill="1" applyBorder="1" applyAlignment="1">
      <x:alignment horizontal="center"/>
    </x:xf>
    <x:xf numFmtId="200" fontId="0" fillId="0" borderId="16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2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6" borderId="5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6" borderId="10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6" borderId="13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wrapText="1"/>
    </x:xf>
    <x:xf numFmtId="200" fontId="4" fillId="5" borderId="4" xfId="0" applyNumberFormat="1" applyFont="1" applyFill="1" applyBorder="1" applyAlignment="1">
      <x:alignment horizontal="center" wrapText="1"/>
    </x:xf>
    <x:xf numFmtId="0" fontId="0" fillId="6" borderId="2" xfId="0" applyNumberFormat="1" applyFont="1" applyFill="1" applyBorder="1" applyAlignment="1">
      <x:alignment vertical="center" wrapText="1"/>
    </x:xf>
    <x:xf numFmtId="0" fontId="0" fillId="6" borderId="3" xfId="0" applyNumberFormat="1" applyFont="1" applyFill="1" applyBorder="1" applyAlignment="1">
      <x:alignment horizontal="center" wrapText="1"/>
    </x:xf>
    <x:xf numFmtId="200" fontId="0" fillId="6" borderId="3" xfId="0" applyNumberFormat="1" applyFont="1" applyFill="1" applyBorder="1" applyAlignment="1">
      <x:alignment horizontal="center" wrapText="1"/>
    </x:xf>
    <x:xf numFmtId="0" fontId="0" fillId="6" borderId="3" xfId="0" applyNumberFormat="1" applyFont="1" applyFill="1" applyBorder="1" applyAlignment="1">
      <x:alignment horizont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4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200" fontId="4" fillId="5" borderId="6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horizontal="center" wrapText="1"/>
    </x:xf>
    <x:xf numFmtId="200" fontId="0" fillId="6" borderId="0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 applyAlignment="1">
      <x:alignment horizont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6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horizontal="center" wrapText="1"/>
    </x:xf>
    <x:xf numFmtId="200" fontId="0" fillId="0" borderId="8" xfId="0" applyNumberFormat="1" applyFont="1" applyFill="1" applyBorder="1" applyAlignment="1">
      <x:alignment horizontal="center" wrapText="1"/>
    </x:xf>
    <x:xf numFmtId="0" fontId="0" fillId="0" borderId="8" xfId="0" applyNumberFormat="1" applyFont="1" applyFill="1" applyBorder="1" applyAlignment="1">
      <x:alignment horizont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3" borderId="10" xfId="0" applyNumberFormat="1" applyFont="1" applyFill="1" applyBorder="1" applyAlignment="1">
      <x:alignment wrapText="1"/>
    </x:xf>
    <x:xf numFmtId="200" fontId="4" fillId="5" borderId="12" xfId="0" applyNumberFormat="1" applyFont="1" applyFill="1" applyBorder="1" applyAlignment="1">
      <x:alignment horizontal="center" wrapText="1"/>
    </x:xf>
    <x:xf numFmtId="0" fontId="0" fillId="6" borderId="10" xfId="0" applyNumberFormat="1" applyFont="1" applyFill="1" applyBorder="1" applyAlignment="1">
      <x:alignment vertical="center" wrapText="1"/>
    </x:xf>
    <x:xf numFmtId="0" fontId="0" fillId="6" borderId="11" xfId="0" applyNumberFormat="1" applyFont="1" applyFill="1" applyBorder="1" applyAlignment="1">
      <x:alignment horizontal="center" wrapText="1"/>
    </x:xf>
    <x:xf numFmtId="200" fontId="0" fillId="6" borderId="11" xfId="0" applyNumberFormat="1" applyFont="1" applyFill="1" applyBorder="1" applyAlignment="1">
      <x:alignment horizontal="center" wrapText="1"/>
    </x:xf>
    <x:xf numFmtId="0" fontId="0" fillId="6" borderId="11" xfId="0" applyNumberFormat="1" applyFont="1" applyFill="1" applyBorder="1" applyAlignment="1">
      <x:alignment horizont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12" xfId="0" applyNumberFormat="1" applyFont="1" applyFill="1" applyBorder="1" applyAlignment="1">
      <x:alignment wrapText="1"/>
    </x:xf>
    <x:xf numFmtId="0" fontId="4" fillId="3" borderId="13" xfId="0" applyNumberFormat="1" applyFont="1" applyFill="1" applyBorder="1" applyAlignment="1">
      <x:alignment wrapText="1"/>
    </x:xf>
    <x:xf numFmtId="200" fontId="4" fillId="5" borderId="14" xfId="0" applyNumberFormat="1" applyFont="1" applyFill="1" applyBorder="1" applyAlignment="1">
      <x:alignment horizont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4" xfId="0" applyNumberFormat="1" applyFont="1" applyFill="1" applyBorder="1" applyAlignment="1">
      <x:alignment wrapText="1"/>
    </x:xf>
    <x:xf numFmtId="0" fontId="0" fillId="6" borderId="13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horizontal="center" wrapText="1"/>
    </x:xf>
    <x:xf numFmtId="200" fontId="0" fillId="6" borderId="1" xfId="0" applyNumberFormat="1" applyFont="1" applyFill="1" applyBorder="1" applyAlignment="1">
      <x:alignment horizontal="center" wrapText="1"/>
    </x:xf>
    <x:xf numFmtId="0" fontId="0" fillId="6" borderId="1" xfId="0" applyNumberFormat="1" applyFont="1" applyFill="1" applyBorder="1" applyAlignment="1">
      <x:alignment horizont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14" xfId="0" applyNumberFormat="1" applyFont="1" applyFill="1" applyBorder="1" applyAlignment="1">
      <x:alignment wrapText="1"/>
    </x:xf>
    <x:xf numFmtId="0" fontId="4" fillId="3" borderId="15" xfId="0" applyNumberFormat="1" applyFont="1" applyFill="1" applyBorder="1" applyAlignment="1">
      <x:alignment wrapText="1"/>
    </x:xf>
    <x:xf numFmtId="0" fontId="4" fillId="5" borderId="17" xfId="0" applyNumberFormat="1" applyFont="1" applyFill="1" applyBorder="1" applyAlignment="1">
      <x:alignment horizont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horizontal="center" wrapText="1"/>
    </x:xf>
    <x:xf numFmtId="200" fontId="0" fillId="0" borderId="16" xfId="0" applyNumberFormat="1" applyFont="1" applyFill="1" applyBorder="1" applyAlignment="1">
      <x:alignment horizontal="center" wrapText="1"/>
    </x:xf>
    <x:xf numFmtId="0" fontId="0" fillId="0" borderId="16" xfId="0" applyNumberFormat="1" applyFont="1" applyFill="1" applyBorder="1" applyAlignment="1">
      <x:alignment horizont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7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6" borderId="12" xfId="0" applyNumberFormat="1" applyFont="1" applyFill="1" applyBorder="1" applyAlignment="1">
      <x:alignment wrapText="1"/>
    </x:xf>
    <x:xf numFmtId="0" fontId="5" fillId="0" borderId="14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0" borderId="17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0"/>
    </x:xf>
    <x:xf numFmtId="0" fontId="5" fillId="0" borderId="6" xfId="0" applyNumberFormat="1" applyFont="1" applyFill="1" applyBorder="1" applyAlignment="1">
      <x:alignment wrapText="0"/>
    </x:xf>
    <x:xf numFmtId="0" fontId="5" fillId="6" borderId="6" xfId="0" applyNumberFormat="1" applyFont="1" applyFill="1" applyBorder="1" applyAlignment="1">
      <x:alignment wrapText="0"/>
    </x:xf>
    <x:xf numFmtId="0" fontId="5" fillId="0" borderId="9" xfId="0" applyNumberFormat="1" applyFont="1" applyFill="1" applyBorder="1" applyAlignment="1">
      <x:alignment wrapText="0"/>
    </x:xf>
    <x:xf numFmtId="0" fontId="4" fillId="3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200" fontId="4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wrapText="1"/>
    </x:xf>
    <x:xf numFmtId="200" fontId="4" fillId="5" borderId="0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 applyAlignment="1">
      <x:alignment wrapText="0"/>
    </x:xf>
  </x:cellXfs>
  <x:cellStyles count="1">
    <x:cellStyle name="Normal" xfId="0"/>
  </x:cellStyles>
  <x:dxfs count="2">
    <x:dxf>
      <x:font>
        <x:b/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b54ad9656942d2" /><Relationship Type="http://schemas.openxmlformats.org/officeDocument/2006/relationships/theme" Target="/xl/theme/theme1.xml" Id="R758f6f6781ff484d" /><Relationship Type="http://schemas.microsoft.com/office/2022/11/relationships/FeaturePropertyBag" Target="/xl/featurePropertyBag/featurePropertyBag.xml" Id="R862e1a9f32d8456a" /><Relationship Type="http://schemas.openxmlformats.org/officeDocument/2006/relationships/sharedStrings" Target="/xl/sharedStrings.xml" Id="R038cc3359166486c" /><Relationship Type="http://schemas.openxmlformats.org/officeDocument/2006/relationships/worksheet" Target="/xl/worksheets/sheet1.xml" Id="R089148ca4fd9430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hoppingListTable" displayName="ShoppingListTable" ref="A3:F11" headerRowCount="1">
  <x:tableColumns count="6">
    <x:tableColumn id="1" name="Item"/>
    <x:tableColumn id="2" name="Quantity"/>
    <x:tableColumn id="3" name="Unit Price"/>
    <x:tableColumn id="4" name="Ordered"/>
    <x:tableColumn id="5" name="Line Total"/>
    <x:tableColumn id="6" name="Purchase Lin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b9d94c6bd44854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1" hidden="0" customWidth="1"/>
    <x:col min="3" max="3" width="13" hidden="0" customWidth="1"/>
    <x:col min="4" max="4" width="12" hidden="0" customWidth="1"/>
    <x:col min="5" max="5" width="14" hidden="0" customWidth="1"/>
    <x:col min="6" max="6" width="42" hidden="0" customWidth="1"/>
    <x:col min="7" max="7" width="3" hidden="0" customWidth="1"/>
    <x:col min="8" max="8" width="18" hidden="0" customWidth="1"/>
    <x:col min="9" max="9" width="14" hidden="0" customWidth="1"/>
  </x:cols>
  <x:sheetData>
    <x:row r="1" ht="30" customHeight="1">
      <x:c r="A1" s="140" t="str">
        <x:v>8-Bit CPU Hardware Shopping List</x:v>
      </x:c>
      <x:c r="B1" s="140"/>
      <x:c r="C1" s="140"/>
      <x:c r="D1" s="140"/>
      <x:c r="E1" s="140"/>
      <x:c r="F1" s="140"/>
      <x:c r="G1" s="141"/>
      <x:c r="H1" s="141"/>
      <x:c r="I1" s="141"/>
    </x:row>
    <x:row r="2" ht="24" customHeight="1">
      <x:c r="A2" s="142" t="str">
        <x:v>Estimated prices supplied by the project team; totals exclude tax and shipping.</x:v>
      </x:c>
      <x:c r="B2" s="142"/>
      <x:c r="C2" s="142"/>
      <x:c r="D2" s="142"/>
      <x:c r="E2" s="142"/>
      <x:c r="F2" s="142"/>
      <x:c r="G2" s="141"/>
      <x:c r="H2" s="143" t="str">
        <x:v>Cost Summary</x:v>
      </x:c>
      <x:c r="I2" s="143"/>
    </x:row>
    <x:row r="3" ht="24" customHeight="1">
      <x:c r="A3" s="143" t="str">
        <x:v>Item</x:v>
      </x:c>
      <x:c r="B3" s="143" t="str">
        <x:v>Quantity</x:v>
      </x:c>
      <x:c r="C3" s="143" t="str">
        <x:v>Unit Price</x:v>
      </x:c>
      <x:c r="D3" s="143" t="str">
        <x:v>Ordered</x:v>
      </x:c>
      <x:c r="E3" s="143" t="str">
        <x:v>Line Total</x:v>
      </x:c>
      <x:c r="F3" s="143" t="str">
        <x:v>Purchase Link</x:v>
      </x:c>
      <x:c r="G3" s="141"/>
      <x:c r="H3" s="144" t="str">
        <x:v>Estimated Total</x:v>
      </x:c>
      <x:c r="I3" s="145" t="n">
        <x:f>SUM(E4:E12)</x:f>
        <x:v>120.86999999999998</x:v>
      </x:c>
    </x:row>
    <x:row r="4" ht="21" customHeight="1">
      <x:c r="A4" s="146" t="str">
        <x:v>830-Tie-Point Breadboard</x:v>
      </x:c>
      <x:c r="B4" s="147" t="n">
        <x:v>4</x:v>
      </x:c>
      <x:c r="C4" s="148" t="n">
        <x:v>8.99</x:v>
      </x:c>
      <x:c r="D4" s="149" t="b">
        <x:v>0</x:v>
      </x:c>
      <x:c r="E4" s="148" t="n">
        <x:f>B4*C4</x:f>
        <x:v>35.96</x:v>
      </x:c>
      <x:c r="F4" s="200" t="str">
        <x:v>https://www.amazon.com/dp/B01EV6LJ7G</x:v>
      </x:c>
      <x:c r="G4" s="141"/>
      <x:c r="H4" s="151" t="str">
        <x:v>Ordered Cost</x:v>
      </x:c>
      <x:c r="I4" s="152" t="n">
        <x:f>SUMIF(D4:D12,TRUE,E4:E12)</x:f>
        <x:v>0</x:v>
      </x:c>
    </x:row>
    <x:row r="5" ht="21" customHeight="1">
      <x:c r="A5" s="153" t="str">
        <x:v>Solid-Core Hookup Wire</x:v>
      </x:c>
      <x:c r="B5" s="154" t="n">
        <x:v>1</x:v>
      </x:c>
      <x:c r="C5" s="155" t="n">
        <x:v>15.99</x:v>
      </x:c>
      <x:c r="D5" s="156" t="b">
        <x:v>0</x:v>
      </x:c>
      <x:c r="E5" s="155" t="n">
        <x:f>B5*C5</x:f>
        <x:v>15.99</x:v>
      </x:c>
      <x:c r="F5" s="201" t="str">
        <x:v>https://www.amazon.com/dp/B07TX6BX47</x:v>
      </x:c>
      <x:c r="G5" s="141"/>
      <x:c r="H5" s="151" t="str">
        <x:v>Remaining Cost</x:v>
      </x:c>
      <x:c r="I5" s="152" t="n">
        <x:f>I3-I4</x:f>
        <x:v>120.86999999999998</x:v>
      </x:c>
    </x:row>
    <x:row r="6" ht="21" customHeight="1">
      <x:c r="A6" s="158" t="str">
        <x:v>DuPont 2.54 mm Crimp Pins &amp; 1-Pin Housings</x:v>
      </x:c>
      <x:c r="B6" s="159" t="n">
        <x:v>1</x:v>
      </x:c>
      <x:c r="C6" s="160" t="n">
        <x:v>8.99</x:v>
      </x:c>
      <x:c r="D6" s="161" t="b">
        <x:v>0</x:v>
      </x:c>
      <x:c r="E6" s="160" t="n">
        <x:f>B6*C6</x:f>
        <x:v>8.99</x:v>
      </x:c>
      <x:c r="F6" s="202" t="str">
        <x:v>https://www.amazon.com/dp/B096DNYH52</x:v>
      </x:c>
      <x:c r="G6" s="141"/>
      <x:c r="H6" s="163" t="str">
        <x:v>Items Ordered</x:v>
      </x:c>
      <x:c r="I6" s="164" t="str">
        <x:f>COUNTIF(D4:D12,TRUE)&amp;"/"&amp;COUNTA(A4:A12)</x:f>
        <x:v>0/9</x:v>
      </x:c>
    </x:row>
    <x:row r="7" ht="21" customHeight="1">
      <x:c r="A7" s="153" t="str">
        <x:v>NPN Transistors (200-Pack)</x:v>
      </x:c>
      <x:c r="B7" s="154" t="n">
        <x:v>2</x:v>
      </x:c>
      <x:c r="C7" s="155" t="n">
        <x:v>6.99</x:v>
      </x:c>
      <x:c r="D7" s="156" t="b">
        <x:v>0</x:v>
      </x:c>
      <x:c r="E7" s="155" t="n">
        <x:f>B7*C7</x:f>
        <x:v>13.98</x:v>
      </x:c>
      <x:c r="F7" s="201" t="str">
        <x:v>https://www.amazon.com/dp/B07T4ZJ76B</x:v>
      </x:c>
      <x:c r="G7" s="141"/>
      <x:c r="H7" s="141"/>
      <x:c r="I7" s="141"/>
    </x:row>
    <x:row r="8" ht="21" customHeight="1">
      <x:c r="A8" s="158" t="str">
        <x:v>Resistor Assortment</x:v>
      </x:c>
      <x:c r="B8" s="159" t="n">
        <x:v>1</x:v>
      </x:c>
      <x:c r="C8" s="160" t="n">
        <x:v>9.99</x:v>
      </x:c>
      <x:c r="D8" s="161" t="b">
        <x:v>0</x:v>
      </x:c>
      <x:c r="E8" s="160" t="n">
        <x:f>B8*C8</x:f>
        <x:v>9.99</x:v>
      </x:c>
      <x:c r="F8" s="202" t="str">
        <x:v>https://www.amazon.com/dp/B08FD1XVL6</x:v>
      </x:c>
      <x:c r="G8" s="141"/>
      <x:c r="H8" s="141"/>
      <x:c r="I8" s="141"/>
    </x:row>
    <x:row r="9" ht="21" customHeight="1">
      <x:c r="A9" s="153" t="str">
        <x:v>LED Pack (3 mm or 5 mm)</x:v>
      </x:c>
      <x:c r="B9" s="154" t="n">
        <x:v>1</x:v>
      </x:c>
      <x:c r="C9" s="155" t="n">
        <x:v>6.99</x:v>
      </x:c>
      <x:c r="D9" s="156" t="b">
        <x:v>0</x:v>
      </x:c>
      <x:c r="E9" s="155" t="n">
        <x:f>B9*C9</x:f>
        <x:v>6.99</x:v>
      </x:c>
      <x:c r="F9" s="201" t="str">
        <x:v>https://www.amazon.com/dp/B01AUI4VSI</x:v>
      </x:c>
      <x:c r="G9" s="141"/>
      <x:c r="H9" s="141"/>
      <x:c r="I9" s="141"/>
    </x:row>
    <x:row r="10" ht="21" customHeight="1">
      <x:c r="A10" s="158" t="str">
        <x:v>3-Pin SPDT Switches</x:v>
      </x:c>
      <x:c r="B10" s="159" t="n">
        <x:v>1</x:v>
      </x:c>
      <x:c r="C10" s="160" t="n">
        <x:v>8.99</x:v>
      </x:c>
      <x:c r="D10" s="161" t="b">
        <x:v>0</x:v>
      </x:c>
      <x:c r="E10" s="160" t="n">
        <x:f>B10*C10</x:f>
        <x:v>8.99</x:v>
      </x:c>
      <x:c r="F10" s="202" t="str">
        <x:v>https://www.amazon.com/dp/B0FNK8B1YV</x:v>
      </x:c>
      <x:c r="G10" s="141"/>
      <x:c r="H10" s="141"/>
      <x:c r="I10" s="141"/>
    </x:row>
    <x:row r="11" ht="21" customHeight="1">
      <x:c r="A11" s="165" t="str">
        <x:v>4.8 V Power Supply</x:v>
      </x:c>
      <x:c r="B11" s="166" t="n">
        <x:v>1</x:v>
      </x:c>
      <x:c r="C11" s="167" t="n">
        <x:v>13.99</x:v>
      </x:c>
      <x:c r="D11" s="168" t="b">
        <x:v>0</x:v>
      </x:c>
      <x:c r="E11" s="167" t="n">
        <x:f>B11*C11</x:f>
        <x:v>13.99</x:v>
      </x:c>
      <x:c r="F11" s="203" t="str">
        <x:v>https://www.amazon.com/dp/B07FXVHT32</x:v>
      </x:c>
      <x:c r="G11" s="141"/>
      <x:c r="H11" s="141"/>
      <x:c r="I11" s="141"/>
    </x:row>
    <x:row r="12">
      <x:c r="A12" s="141" t="str">
        <x:v>SM-2 Battery Adapter</x:v>
      </x:c>
      <x:c r="B12" t="n">
        <x:v>1</x:v>
      </x:c>
      <x:c r="C12" t="n">
        <x:v>5.99</x:v>
      </x:c>
      <x:c r="D12" s="1" t="b">
        <x:v>0</x:v>
      </x:c>
      <x:c r="E12" t="n">
        <x:f>B12*C12</x:f>
        <x:v>5.99</x:v>
      </x:c>
      <x:c r="F12" s="141" t="str">
        <x:v>https://www.amazon.com/dp/B013L9N7KQ</x:v>
      </x:c>
    </x:row>
  </x:sheetData>
  <x:mergeCells>
    <x:mergeCell ref="A1:F1"/>
    <x:mergeCell ref="A2:F2"/>
    <x:mergeCell ref="H2:I2"/>
  </x:mergeCells>
  <x:conditionalFormatting sqref="D4:D11">
    <x:cfRule type="expression" dxfId="0" priority="1">
      <x:formula>D4=TRUE</x:formula>
    </x:cfRule>
    <x:cfRule type="expression" dxfId="1" priority="2">
      <x:formula>D4=FALSE</x:formula>
    </x:cfRule>
  </x:conditionalFormatting>
  <x:dataValidations count="1">
    <x:dataValidation type="list" sqref="D4:D1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bb9d94c6bd44854"/>
  </x:tableParts>
</x:worksheet>
</file>